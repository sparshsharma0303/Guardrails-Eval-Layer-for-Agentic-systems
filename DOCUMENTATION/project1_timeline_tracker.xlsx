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meline Track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<sst xmlns="http://schemas.openxmlformats.org/spreadsheetml/2006/main" count="182" uniqueCount="95">
  <si>
    <t xml:space="preserve">Guardrail &amp; Evaluation Layer — Build Tracker (Project 1, v3)</t>
  </si>
  <si>
    <t xml:space="preserve">Total Tasks</t>
  </si>
  <si>
    <t xml:space="preserve">% Complete</t>
  </si>
  <si>
    <t xml:space="preserve">Done</t>
  </si>
  <si>
    <t xml:space="preserve">In Progress</t>
  </si>
  <si>
    <t xml:space="preserve">#</t>
  </si>
  <si>
    <t xml:space="preserve">Phase</t>
  </si>
  <si>
    <t xml:space="preserve">Task</t>
  </si>
  <si>
    <t xml:space="preserve">Target Duration</t>
  </si>
  <si>
    <t xml:space="preserve">Status</t>
  </si>
  <si>
    <t xml:space="preserve">Benchmark / Done-When</t>
  </si>
  <si>
    <t xml:space="preserve">Notes</t>
  </si>
  <si>
    <t xml:space="preserve">1a — Trace Skeleton (Wk 1–4)</t>
  </si>
  <si>
    <t xml:space="preserve">Design canonical trace schema</t>
  </si>
  <si>
    <t xml:space="preserve">Week 1</t>
  </si>
  <si>
    <t xml:space="preserve">Not Started</t>
  </si>
  <si>
    <t xml:space="preserve">Build LangGraph adapter</t>
  </si>
  <si>
    <t xml:space="preserve">Week 1–2</t>
  </si>
  <si>
    <t xml:space="preserve">Set up Postgres trace store</t>
  </si>
  <si>
    <t xml:space="preserve">Week 2</t>
  </si>
  <si>
    <t xml:space="preserve">Build privacy/redaction filter</t>
  </si>
  <si>
    <t xml:space="preserve">Week 2–3</t>
  </si>
  <si>
    <t xml:space="preserve">Build provider abstraction layer</t>
  </si>
  <si>
    <t xml:space="preserve">Week 3</t>
  </si>
  <si>
    <t xml:space="preserve">Build mock evaluator</t>
  </si>
  <si>
    <t xml:space="preserve">Implement caching layer</t>
  </si>
  <si>
    <t xml:space="preserve">Week 3–4</t>
  </si>
  <si>
    <t xml:space="preserve">Implement retry / rate-limit handling</t>
  </si>
  <si>
    <t xml:space="preserve">Week 4</t>
  </si>
  <si>
    <t xml:space="preserve">Benchmark: 10 known runs round-trip, zero data loss</t>
  </si>
  <si>
    <t xml:space="preserve">Zero data loss on round-trip</t>
  </si>
  <si>
    <t xml:space="preserve">Benchmark: secrets/PII confirmed redacted</t>
  </si>
  <si>
    <t xml:space="preserve">No unredacted secrets in stored traces</t>
  </si>
  <si>
    <t xml:space="preserve">Benchmark: repeated call served from cache</t>
  </si>
  <si>
    <t xml:space="preserve">Identical call not re-sent to provider</t>
  </si>
  <si>
    <t xml:space="preserve">Integration Check 1</t>
  </si>
  <si>
    <t xml:space="preserve">Verify trace schema covers all downstream fields</t>
  </si>
  <si>
    <t xml:space="preserve">~1 day</t>
  </si>
  <si>
    <t xml:space="preserve">Every field 1b–1d needs is present</t>
  </si>
  <si>
    <t xml:space="preserve">1b — Basic Evaluation (Wk 5–6)</t>
  </si>
  <si>
    <t xml:space="preserve">Build eval-signal schema (incl. evaluator_version)</t>
  </si>
  <si>
    <t xml:space="preserve">Week 5</t>
  </si>
  <si>
    <t xml:space="preserve">Build rule-based evaluators</t>
  </si>
  <si>
    <t xml:space="preserve">Build embedding evaluators</t>
  </si>
  <si>
    <t xml:space="preserve">Week 5–6</t>
  </si>
  <si>
    <t xml:space="preserve">Build dataset versioning</t>
  </si>
  <si>
    <t xml:space="preserve">Week 6</t>
  </si>
  <si>
    <t xml:space="preserve">Create 20–30 case hand-labeled dataset</t>
  </si>
  <si>
    <t xml:space="preserve">Benchmark: rule-based checks match expected pass/fail</t>
  </si>
  <si>
    <t xml:space="preserve">Exact match vs. hand-labeled set</t>
  </si>
  <si>
    <t xml:space="preserve">Benchmark: embedding scores correlate with human judgment</t>
  </si>
  <si>
    <t xml:space="preserve">Directional correlation confirmed</t>
  </si>
  <si>
    <t xml:space="preserve">1c — Groundedness (Wk 7–9)</t>
  </si>
  <si>
    <t xml:space="preserve">Build claim extraction step</t>
  </si>
  <si>
    <t xml:space="preserve">Week 7</t>
  </si>
  <si>
    <t xml:space="preserve">Build evidence retrieval step</t>
  </si>
  <si>
    <t xml:space="preserve">Week 7–8</t>
  </si>
  <si>
    <t xml:space="preserve">Build entailment check step</t>
  </si>
  <si>
    <t xml:space="preserve">Week 8</t>
  </si>
  <si>
    <t xml:space="preserve">Implement full metric set (claims, unsupported, contradicted, coverage, retrieval failure, extraction confidence)</t>
  </si>
  <si>
    <t xml:space="preserve">Week 8–9</t>
  </si>
  <si>
    <t xml:space="preserve">Create labeled claim-level benchmark set</t>
  </si>
  <si>
    <t xml:space="preserve">Week 9</t>
  </si>
  <si>
    <t xml:space="preserve">Benchmark: entailment labels match human labels ≥ 80%</t>
  </si>
  <si>
    <t xml:space="preserve">≥80% agreement with human labels</t>
  </si>
  <si>
    <t xml:space="preserve">Integration Check 2</t>
  </si>
  <si>
    <t xml:space="preserve">Verify groundedness results flow into eval-signal schema</t>
  </si>
  <si>
    <t xml:space="preserve">Evidence + severity populated correctly</t>
  </si>
  <si>
    <t xml:space="preserve">1d — Security Suite (Wk 10–12)</t>
  </si>
  <si>
    <t xml:space="preserve">Build prompt injection test module</t>
  </si>
  <si>
    <t xml:space="preserve">Week 10</t>
  </si>
  <si>
    <t xml:space="preserve">Build indirect injection test module</t>
  </si>
  <si>
    <t xml:space="preserve">Build permission / allow-list evaluation</t>
  </si>
  <si>
    <t xml:space="preserve">Week 11</t>
  </si>
  <si>
    <t xml:space="preserve">Build tool-argument validation</t>
  </si>
  <si>
    <t xml:space="preserve">Build loop / excessive-retry detection</t>
  </si>
  <si>
    <t xml:space="preserve">Build versioned security payload registry</t>
  </si>
  <si>
    <t xml:space="preserve">Week 12</t>
  </si>
  <si>
    <t xml:space="preserve">Benchmark: adversarial suite catch-rate meets threshold</t>
  </si>
  <si>
    <t xml:space="preserve">Defined min. % of payloads caught</t>
  </si>
  <si>
    <t xml:space="preserve">1e — Dashboard (Wk 13–14)</t>
  </si>
  <si>
    <t xml:space="preserve">Build dashboard UI skeleton</t>
  </si>
  <si>
    <t xml:space="preserve">Week 13</t>
  </si>
  <si>
    <t xml:space="preserve">Wire eval signals with evidence &amp; severity</t>
  </si>
  <si>
    <t xml:space="preserve">Wire security findings view</t>
  </si>
  <si>
    <t xml:space="preserve">Week 14</t>
  </si>
  <si>
    <t xml:space="preserve">Benchmark: every finding traceable to trace_span_ids</t>
  </si>
  <si>
    <t xml:space="preserve">Manual walkthrough passes</t>
  </si>
  <si>
    <t xml:space="preserve">Buffer (Wk 15–16)</t>
  </si>
  <si>
    <t xml:space="preserve">Debugging &amp; polish</t>
  </si>
  <si>
    <t xml:space="preserve">Week 15</t>
  </si>
  <si>
    <t xml:space="preserve">Documentation</t>
  </si>
  <si>
    <t xml:space="preserve">Week 15–16</t>
  </si>
  <si>
    <t xml:space="preserve">Report / viva prep</t>
  </si>
  <si>
    <t xml:space="preserve">Week 16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</si>
</sst>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4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46"/>
    <col collapsed="false" customWidth="true" hidden="false" outlineLevel="0" max="7" min="7" style="0" width="2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2" t="s">
        <v>1</v>
      </c>
      <c r="B3" s="3" t="n">
        <f aca="false">COUNTA(B7:B100)-COUNTBLANK(B7:B100)</f>
        <v>-12</v>
      </c>
      <c r="C3" s="2" t="s">
        <v>2</v>
      </c>
      <c r="D3" s="4" t="n">
        <f aca="false">IFERROR(B4/B3,0)</f>
        <v>-0</v>
      </c>
    </row>
    <row r="4" customFormat="false" ht="15" hidden="false" customHeight="false" outlineLevel="0" collapsed="false">
      <c r="A4" s="2" t="s">
        <v>3</v>
      </c>
      <c r="B4" s="3" t="n">
        <f aca="false">COUNTIF(E7:E100,"Done")</f>
        <v>0</v>
      </c>
    </row>
    <row r="5" customFormat="false" ht="15" hidden="false" customHeight="false" outlineLevel="0" collapsed="false">
      <c r="A5" s="2" t="s">
        <v>4</v>
      </c>
      <c r="B5" s="3" t="n">
        <f aca="false">COUNTIF(E7:E100,"In Progress")</f>
        <v>0</v>
      </c>
    </row>
    <row r="7" customFormat="false" ht="15" hidden="false" customHeight="false" outlineLevel="0" collapsed="false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</row>
    <row r="8" customFormat="false" ht="30" hidden="false" customHeight="true" outlineLevel="0" collapsed="false">
      <c r="A8" s="6" t="n">
        <v>1</v>
      </c>
      <c r="B8" s="6" t="s">
        <v>12</v>
      </c>
      <c r="C8" s="6" t="s">
        <v>13</v>
      </c>
      <c r="D8" s="6" t="s">
        <v>14</v>
      </c>
      <c r="E8" s="6" t="s">
        <v>15</v>
      </c>
      <c r="F8" s="6"/>
      <c r="G8" s="6"/>
    </row>
    <row r="9" customFormat="false" ht="30" hidden="false" customHeight="true" outlineLevel="0" collapsed="false">
      <c r="A9" s="6" t="n">
        <v>2</v>
      </c>
      <c r="B9" s="6" t="s">
        <v>12</v>
      </c>
      <c r="C9" s="6" t="s">
        <v>16</v>
      </c>
      <c r="D9" s="6" t="s">
        <v>17</v>
      </c>
      <c r="E9" s="6" t="s">
        <v>15</v>
      </c>
      <c r="F9" s="6"/>
      <c r="G9" s="6"/>
    </row>
    <row r="10" customFormat="false" ht="30" hidden="false" customHeight="true" outlineLevel="0" collapsed="false">
      <c r="A10" s="6" t="n">
        <v>3</v>
      </c>
      <c r="B10" s="6" t="s">
        <v>12</v>
      </c>
      <c r="C10" s="6" t="s">
        <v>18</v>
      </c>
      <c r="D10" s="6" t="s">
        <v>19</v>
      </c>
      <c r="E10" s="6" t="s">
        <v>15</v>
      </c>
      <c r="F10" s="6"/>
      <c r="G10" s="6"/>
    </row>
    <row r="11" customFormat="false" ht="30" hidden="false" customHeight="true" outlineLevel="0" collapsed="false">
      <c r="A11" s="6" t="n">
        <v>4</v>
      </c>
      <c r="B11" s="6" t="s">
        <v>12</v>
      </c>
      <c r="C11" s="6" t="s">
        <v>20</v>
      </c>
      <c r="D11" s="6" t="s">
        <v>21</v>
      </c>
      <c r="E11" s="6" t="s">
        <v>15</v>
      </c>
      <c r="F11" s="6"/>
      <c r="G11" s="6"/>
    </row>
    <row r="12" customFormat="false" ht="30" hidden="false" customHeight="true" outlineLevel="0" collapsed="false">
      <c r="A12" s="6" t="n">
        <v>5</v>
      </c>
      <c r="B12" s="6" t="s">
        <v>12</v>
      </c>
      <c r="C12" s="6" t="s">
        <v>22</v>
      </c>
      <c r="D12" s="6" t="s">
        <v>23</v>
      </c>
      <c r="E12" s="6" t="s">
        <v>15</v>
      </c>
      <c r="F12" s="6"/>
      <c r="G12" s="6"/>
    </row>
    <row r="13" customFormat="false" ht="30" hidden="false" customHeight="true" outlineLevel="0" collapsed="false">
      <c r="A13" s="6" t="n">
        <v>6</v>
      </c>
      <c r="B13" s="6" t="s">
        <v>12</v>
      </c>
      <c r="C13" s="6" t="s">
        <v>24</v>
      </c>
      <c r="D13" s="6" t="s">
        <v>23</v>
      </c>
      <c r="E13" s="6" t="s">
        <v>15</v>
      </c>
      <c r="F13" s="6"/>
      <c r="G13" s="6"/>
    </row>
    <row r="14" customFormat="false" ht="30" hidden="false" customHeight="true" outlineLevel="0" collapsed="false">
      <c r="A14" s="6" t="n">
        <v>7</v>
      </c>
      <c r="B14" s="6" t="s">
        <v>12</v>
      </c>
      <c r="C14" s="6" t="s">
        <v>25</v>
      </c>
      <c r="D14" s="6" t="s">
        <v>26</v>
      </c>
      <c r="E14" s="6" t="s">
        <v>15</v>
      </c>
      <c r="F14" s="6"/>
      <c r="G14" s="6"/>
    </row>
    <row r="15" customFormat="false" ht="30" hidden="false" customHeight="true" outlineLevel="0" collapsed="false">
      <c r="A15" s="6" t="n">
        <v>8</v>
      </c>
      <c r="B15" s="6" t="s">
        <v>12</v>
      </c>
      <c r="C15" s="6" t="s">
        <v>27</v>
      </c>
      <c r="D15" s="6" t="s">
        <v>28</v>
      </c>
      <c r="E15" s="6" t="s">
        <v>15</v>
      </c>
      <c r="F15" s="6"/>
      <c r="G15" s="6"/>
    </row>
    <row r="16" customFormat="false" ht="30" hidden="false" customHeight="true" outlineLevel="0" collapsed="false">
      <c r="A16" s="6" t="n">
        <v>9</v>
      </c>
      <c r="B16" s="6" t="s">
        <v>12</v>
      </c>
      <c r="C16" s="6" t="s">
        <v>29</v>
      </c>
      <c r="D16" s="6" t="s">
        <v>28</v>
      </c>
      <c r="E16" s="6" t="s">
        <v>15</v>
      </c>
      <c r="F16" s="6" t="s">
        <v>30</v>
      </c>
      <c r="G16" s="6"/>
    </row>
    <row r="17" customFormat="false" ht="30" hidden="false" customHeight="true" outlineLevel="0" collapsed="false">
      <c r="A17" s="6" t="n">
        <v>10</v>
      </c>
      <c r="B17" s="6" t="s">
        <v>12</v>
      </c>
      <c r="C17" s="6" t="s">
        <v>31</v>
      </c>
      <c r="D17" s="6" t="s">
        <v>28</v>
      </c>
      <c r="E17" s="6" t="s">
        <v>15</v>
      </c>
      <c r="F17" s="6" t="s">
        <v>32</v>
      </c>
      <c r="G17" s="6"/>
    </row>
    <row r="18" customFormat="false" ht="30" hidden="false" customHeight="true" outlineLevel="0" collapsed="false">
      <c r="A18" s="6" t="n">
        <v>11</v>
      </c>
      <c r="B18" s="6" t="s">
        <v>12</v>
      </c>
      <c r="C18" s="6" t="s">
        <v>33</v>
      </c>
      <c r="D18" s="6" t="s">
        <v>28</v>
      </c>
      <c r="E18" s="6" t="s">
        <v>15</v>
      </c>
      <c r="F18" s="6" t="s">
        <v>34</v>
      </c>
      <c r="G18" s="6"/>
    </row>
    <row r="19" customFormat="false" ht="30" hidden="false" customHeight="true" outlineLevel="0" collapsed="false">
      <c r="A19" s="6" t="n">
        <v>12</v>
      </c>
      <c r="B19" s="6" t="s">
        <v>35</v>
      </c>
      <c r="C19" s="6" t="s">
        <v>36</v>
      </c>
      <c r="D19" s="6" t="s">
        <v>37</v>
      </c>
      <c r="E19" s="6" t="s">
        <v>15</v>
      </c>
      <c r="F19" s="6" t="s">
        <v>38</v>
      </c>
      <c r="G19" s="6"/>
    </row>
    <row r="20" customFormat="false" ht="30" hidden="false" customHeight="true" outlineLevel="0" collapsed="false">
      <c r="A20" s="6" t="n">
        <v>13</v>
      </c>
      <c r="B20" s="6" t="s">
        <v>39</v>
      </c>
      <c r="C20" s="6" t="s">
        <v>40</v>
      </c>
      <c r="D20" s="6" t="s">
        <v>41</v>
      </c>
      <c r="E20" s="6" t="s">
        <v>15</v>
      </c>
      <c r="F20" s="6"/>
      <c r="G20" s="6"/>
    </row>
    <row r="21" customFormat="false" ht="30" hidden="false" customHeight="true" outlineLevel="0" collapsed="false">
      <c r="A21" s="6" t="n">
        <v>14</v>
      </c>
      <c r="B21" s="6" t="s">
        <v>39</v>
      </c>
      <c r="C21" s="6" t="s">
        <v>42</v>
      </c>
      <c r="D21" s="6" t="s">
        <v>41</v>
      </c>
      <c r="E21" s="6" t="s">
        <v>15</v>
      </c>
      <c r="F21" s="6"/>
      <c r="G21" s="6"/>
    </row>
    <row r="22" customFormat="false" ht="30" hidden="false" customHeight="true" outlineLevel="0" collapsed="false">
      <c r="A22" s="6" t="n">
        <v>15</v>
      </c>
      <c r="B22" s="6" t="s">
        <v>39</v>
      </c>
      <c r="C22" s="6" t="s">
        <v>43</v>
      </c>
      <c r="D22" s="6" t="s">
        <v>44</v>
      </c>
      <c r="E22" s="6" t="s">
        <v>15</v>
      </c>
      <c r="F22" s="6"/>
      <c r="G22" s="6"/>
    </row>
    <row r="23" customFormat="false" ht="30" hidden="false" customHeight="true" outlineLevel="0" collapsed="false">
      <c r="A23" s="6" t="n">
        <v>16</v>
      </c>
      <c r="B23" s="6" t="s">
        <v>39</v>
      </c>
      <c r="C23" s="6" t="s">
        <v>45</v>
      </c>
      <c r="D23" s="6" t="s">
        <v>46</v>
      </c>
      <c r="E23" s="6" t="s">
        <v>15</v>
      </c>
      <c r="F23" s="6"/>
      <c r="G23" s="6"/>
    </row>
    <row r="24" customFormat="false" ht="30" hidden="false" customHeight="true" outlineLevel="0" collapsed="false">
      <c r="A24" s="6" t="n">
        <v>17</v>
      </c>
      <c r="B24" s="6" t="s">
        <v>39</v>
      </c>
      <c r="C24" s="6" t="s">
        <v>47</v>
      </c>
      <c r="D24" s="6" t="s">
        <v>46</v>
      </c>
      <c r="E24" s="6" t="s">
        <v>15</v>
      </c>
      <c r="F24" s="6"/>
      <c r="G24" s="6"/>
    </row>
    <row r="25" customFormat="false" ht="30" hidden="false" customHeight="true" outlineLevel="0" collapsed="false">
      <c r="A25" s="6" t="n">
        <v>18</v>
      </c>
      <c r="B25" s="6" t="s">
        <v>39</v>
      </c>
      <c r="C25" s="6" t="s">
        <v>48</v>
      </c>
      <c r="D25" s="6" t="s">
        <v>46</v>
      </c>
      <c r="E25" s="6" t="s">
        <v>15</v>
      </c>
      <c r="F25" s="6" t="s">
        <v>49</v>
      </c>
      <c r="G25" s="6"/>
    </row>
    <row r="26" customFormat="false" ht="30" hidden="false" customHeight="true" outlineLevel="0" collapsed="false">
      <c r="A26" s="6" t="n">
        <v>19</v>
      </c>
      <c r="B26" s="6" t="s">
        <v>39</v>
      </c>
      <c r="C26" s="6" t="s">
        <v>50</v>
      </c>
      <c r="D26" s="6" t="s">
        <v>46</v>
      </c>
      <c r="E26" s="6" t="s">
        <v>15</v>
      </c>
      <c r="F26" s="6" t="s">
        <v>51</v>
      </c>
      <c r="G26" s="6"/>
    </row>
    <row r="27" customFormat="false" ht="30" hidden="false" customHeight="true" outlineLevel="0" collapsed="false">
      <c r="A27" s="6" t="n">
        <v>20</v>
      </c>
      <c r="B27" s="6" t="s">
        <v>52</v>
      </c>
      <c r="C27" s="6" t="s">
        <v>53</v>
      </c>
      <c r="D27" s="6" t="s">
        <v>54</v>
      </c>
      <c r="E27" s="6" t="s">
        <v>15</v>
      </c>
      <c r="F27" s="6"/>
      <c r="G27" s="6"/>
    </row>
    <row r="28" customFormat="false" ht="30" hidden="false" customHeight="true" outlineLevel="0" collapsed="false">
      <c r="A28" s="6" t="n">
        <v>21</v>
      </c>
      <c r="B28" s="6" t="s">
        <v>52</v>
      </c>
      <c r="C28" s="6" t="s">
        <v>55</v>
      </c>
      <c r="D28" s="6" t="s">
        <v>56</v>
      </c>
      <c r="E28" s="6" t="s">
        <v>15</v>
      </c>
      <c r="F28" s="6"/>
      <c r="G28" s="6"/>
    </row>
    <row r="29" customFormat="false" ht="30" hidden="false" customHeight="true" outlineLevel="0" collapsed="false">
      <c r="A29" s="6" t="n">
        <v>22</v>
      </c>
      <c r="B29" s="6" t="s">
        <v>52</v>
      </c>
      <c r="C29" s="6" t="s">
        <v>57</v>
      </c>
      <c r="D29" s="6" t="s">
        <v>58</v>
      </c>
      <c r="E29" s="6" t="s">
        <v>15</v>
      </c>
      <c r="F29" s="6"/>
      <c r="G29" s="6"/>
    </row>
    <row r="30" customFormat="false" ht="30" hidden="false" customHeight="true" outlineLevel="0" collapsed="false">
      <c r="A30" s="6" t="n">
        <v>23</v>
      </c>
      <c r="B30" s="6" t="s">
        <v>52</v>
      </c>
      <c r="C30" s="6" t="s">
        <v>59</v>
      </c>
      <c r="D30" s="6" t="s">
        <v>60</v>
      </c>
      <c r="E30" s="6" t="s">
        <v>15</v>
      </c>
      <c r="F30" s="6"/>
      <c r="G30" s="6"/>
    </row>
    <row r="31" customFormat="false" ht="30" hidden="false" customHeight="true" outlineLevel="0" collapsed="false">
      <c r="A31" s="6" t="n">
        <v>24</v>
      </c>
      <c r="B31" s="6" t="s">
        <v>52</v>
      </c>
      <c r="C31" s="6" t="s">
        <v>61</v>
      </c>
      <c r="D31" s="6" t="s">
        <v>62</v>
      </c>
      <c r="E31" s="6" t="s">
        <v>15</v>
      </c>
      <c r="F31" s="6"/>
      <c r="G31" s="6"/>
    </row>
    <row r="32" customFormat="false" ht="30" hidden="false" customHeight="true" outlineLevel="0" collapsed="false">
      <c r="A32" s="6" t="n">
        <v>25</v>
      </c>
      <c r="B32" s="6" t="s">
        <v>52</v>
      </c>
      <c r="C32" s="6" t="s">
        <v>63</v>
      </c>
      <c r="D32" s="6" t="s">
        <v>62</v>
      </c>
      <c r="E32" s="6" t="s">
        <v>15</v>
      </c>
      <c r="F32" s="6" t="s">
        <v>64</v>
      </c>
      <c r="G32" s="6"/>
    </row>
    <row r="33" customFormat="false" ht="30" hidden="false" customHeight="true" outlineLevel="0" collapsed="false">
      <c r="A33" s="6" t="n">
        <v>26</v>
      </c>
      <c r="B33" s="6" t="s">
        <v>65</v>
      </c>
      <c r="C33" s="6" t="s">
        <v>66</v>
      </c>
      <c r="D33" s="6" t="s">
        <v>37</v>
      </c>
      <c r="E33" s="6" t="s">
        <v>15</v>
      </c>
      <c r="F33" s="6" t="s">
        <v>67</v>
      </c>
      <c r="G33" s="6"/>
    </row>
    <row r="34" customFormat="false" ht="30" hidden="false" customHeight="true" outlineLevel="0" collapsed="false">
      <c r="A34" s="6" t="n">
        <v>27</v>
      </c>
      <c r="B34" s="6" t="s">
        <v>68</v>
      </c>
      <c r="C34" s="6" t="s">
        <v>69</v>
      </c>
      <c r="D34" s="6" t="s">
        <v>70</v>
      </c>
      <c r="E34" s="6" t="s">
        <v>15</v>
      </c>
      <c r="F34" s="6"/>
      <c r="G34" s="6"/>
    </row>
    <row r="35" customFormat="false" ht="30" hidden="false" customHeight="true" outlineLevel="0" collapsed="false">
      <c r="A35" s="6" t="n">
        <v>28</v>
      </c>
      <c r="B35" s="6" t="s">
        <v>68</v>
      </c>
      <c r="C35" s="6" t="s">
        <v>71</v>
      </c>
      <c r="D35" s="6" t="s">
        <v>70</v>
      </c>
      <c r="E35" s="6" t="s">
        <v>15</v>
      </c>
      <c r="F35" s="6"/>
      <c r="G35" s="6"/>
    </row>
    <row r="36" customFormat="false" ht="30" hidden="false" customHeight="true" outlineLevel="0" collapsed="false">
      <c r="A36" s="6" t="n">
        <v>29</v>
      </c>
      <c r="B36" s="6" t="s">
        <v>68</v>
      </c>
      <c r="C36" s="6" t="s">
        <v>72</v>
      </c>
      <c r="D36" s="6" t="s">
        <v>73</v>
      </c>
      <c r="E36" s="6" t="s">
        <v>15</v>
      </c>
      <c r="F36" s="6"/>
      <c r="G36" s="6"/>
    </row>
    <row r="37" customFormat="false" ht="30" hidden="false" customHeight="true" outlineLevel="0" collapsed="false">
      <c r="A37" s="6" t="n">
        <v>30</v>
      </c>
      <c r="B37" s="6" t="s">
        <v>68</v>
      </c>
      <c r="C37" s="6" t="s">
        <v>74</v>
      </c>
      <c r="D37" s="6" t="s">
        <v>73</v>
      </c>
      <c r="E37" s="6" t="s">
        <v>15</v>
      </c>
      <c r="F37" s="6"/>
      <c r="G37" s="6"/>
    </row>
    <row r="38" customFormat="false" ht="30" hidden="false" customHeight="true" outlineLevel="0" collapsed="false">
      <c r="A38" s="6" t="n">
        <v>31</v>
      </c>
      <c r="B38" s="6" t="s">
        <v>68</v>
      </c>
      <c r="C38" s="6" t="s">
        <v>75</v>
      </c>
      <c r="D38" s="6" t="s">
        <v>73</v>
      </c>
      <c r="E38" s="6" t="s">
        <v>15</v>
      </c>
      <c r="F38" s="6"/>
      <c r="G38" s="6"/>
    </row>
    <row r="39" customFormat="false" ht="30" hidden="false" customHeight="true" outlineLevel="0" collapsed="false">
      <c r="A39" s="6" t="n">
        <v>32</v>
      </c>
      <c r="B39" s="6" t="s">
        <v>68</v>
      </c>
      <c r="C39" s="6" t="s">
        <v>76</v>
      </c>
      <c r="D39" s="6" t="s">
        <v>77</v>
      </c>
      <c r="E39" s="6" t="s">
        <v>15</v>
      </c>
      <c r="F39" s="6"/>
      <c r="G39" s="6"/>
    </row>
    <row r="40" customFormat="false" ht="30" hidden="false" customHeight="true" outlineLevel="0" collapsed="false">
      <c r="A40" s="6" t="n">
        <v>33</v>
      </c>
      <c r="B40" s="6" t="s">
        <v>68</v>
      </c>
      <c r="C40" s="6" t="s">
        <v>78</v>
      </c>
      <c r="D40" s="6" t="s">
        <v>77</v>
      </c>
      <c r="E40" s="6" t="s">
        <v>15</v>
      </c>
      <c r="F40" s="6" t="s">
        <v>79</v>
      </c>
      <c r="G40" s="6"/>
    </row>
    <row r="41" customFormat="false" ht="30" hidden="false" customHeight="true" outlineLevel="0" collapsed="false">
      <c r="A41" s="6" t="n">
        <v>34</v>
      </c>
      <c r="B41" s="6" t="s">
        <v>80</v>
      </c>
      <c r="C41" s="6" t="s">
        <v>81</v>
      </c>
      <c r="D41" s="6" t="s">
        <v>82</v>
      </c>
      <c r="E41" s="6" t="s">
        <v>15</v>
      </c>
      <c r="F41" s="6"/>
      <c r="G41" s="6"/>
    </row>
    <row r="42" customFormat="false" ht="30" hidden="false" customHeight="true" outlineLevel="0" collapsed="false">
      <c r="A42" s="6" t="n">
        <v>35</v>
      </c>
      <c r="B42" s="6" t="s">
        <v>80</v>
      </c>
      <c r="C42" s="6" t="s">
        <v>83</v>
      </c>
      <c r="D42" s="6" t="s">
        <v>82</v>
      </c>
      <c r="E42" s="6" t="s">
        <v>15</v>
      </c>
      <c r="F42" s="6"/>
      <c r="G42" s="6"/>
    </row>
    <row r="43" customFormat="false" ht="30" hidden="false" customHeight="true" outlineLevel="0" collapsed="false">
      <c r="A43" s="6" t="n">
        <v>36</v>
      </c>
      <c r="B43" s="6" t="s">
        <v>80</v>
      </c>
      <c r="C43" s="6" t="s">
        <v>84</v>
      </c>
      <c r="D43" s="6" t="s">
        <v>85</v>
      </c>
      <c r="E43" s="6" t="s">
        <v>15</v>
      </c>
      <c r="F43" s="6"/>
      <c r="G43" s="6"/>
    </row>
    <row r="44" customFormat="false" ht="30" hidden="false" customHeight="true" outlineLevel="0" collapsed="false">
      <c r="A44" s="6" t="n">
        <v>37</v>
      </c>
      <c r="B44" s="6" t="s">
        <v>80</v>
      </c>
      <c r="C44" s="6" t="s">
        <v>86</v>
      </c>
      <c r="D44" s="6" t="s">
        <v>85</v>
      </c>
      <c r="E44" s="6" t="s">
        <v>15</v>
      </c>
      <c r="F44" s="6" t="s">
        <v>87</v>
      </c>
      <c r="G44" s="6"/>
    </row>
    <row r="45" customFormat="false" ht="30" hidden="false" customHeight="true" outlineLevel="0" collapsed="false">
      <c r="A45" s="6" t="n">
        <v>38</v>
      </c>
      <c r="B45" s="6" t="s">
        <v>88</v>
      </c>
      <c r="C45" s="6" t="s">
        <v>89</v>
      </c>
      <c r="D45" s="6" t="s">
        <v>90</v>
      </c>
      <c r="E45" s="6" t="s">
        <v>15</v>
      </c>
      <c r="F45" s="6"/>
      <c r="G45" s="6"/>
    </row>
    <row r="46" customFormat="false" ht="30" hidden="false" customHeight="true" outlineLevel="0" collapsed="false">
      <c r="A46" s="6" t="n">
        <v>39</v>
      </c>
      <c r="B46" s="6" t="s">
        <v>88</v>
      </c>
      <c r="C46" s="6" t="s">
        <v>91</v>
      </c>
      <c r="D46" s="6" t="s">
        <v>92</v>
      </c>
      <c r="E46" s="6" t="s">
        <v>15</v>
      </c>
      <c r="F46" s="6"/>
      <c r="G46" s="6"/>
    </row>
    <row r="47" customFormat="false" ht="30" hidden="false" customHeight="true" outlineLevel="0" collapsed="false">
      <c r="A47" s="6" t="n">
        <v>40</v>
      </c>
      <c r="B47" s="6" t="s">
        <v>88</v>
      </c>
      <c r="C47" s="6" t="s">
        <v>93</v>
      </c>
      <c r="D47" s="6" t="s">
        <v>94</v>
      </c>
      <c r="E47" s="6" t="s">
        <v>15</v>
      </c>
      <c r="F47" s="6"/>
      <c r="G47" s="6"/>
    </row>
  </sheetData>
  <mergeCells count="1">
    <mergeCell ref="A1:G1"/>
  </mergeCells>
  <conditionalFormatting sqref="E8:E47">
    <cfRule type="cellIs" priority="2" operator="equal" aboveAverage="0" equalAverage="0" bottom="0" percent="0" rank="0" text="" dxfId="0">
      <formula>"Done"</formula>
    </cfRule>
    <cfRule type="cellIs" priority="3" operator="equal" aboveAverage="0" equalAverage="0" bottom="0" percent="0" rank="0" text="" dxfId="1">
      <formula>"In Progress"</formula>
    </cfRule>
    <cfRule type="cellIs" priority="4" operator="equal" aboveAverage="0" equalAverage="0" bottom="0" percent="0" rank="0" text="" dxfId="2">
      <formula>"Not Started"</formula>
    </cfRule>
  </conditionalFormatting>
  <dataValidations count="1">
    <dataValidation allowBlank="false" errorStyle="stop" operator="between" showDropDown="false" showErrorMessage="false" showInputMessage="false" sqref="E8:E47" type="list">
      <formula1>"Not Started,In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2026-09-06T10:33:59Z</dcterms:created>
  <dc:creator>openpyxl</dc:creator>
  <dc:description/>
  <dc:language>en-US</dc:language>
  <cp:lastModifiedBy/>
  <dcterms:modified xsi:type="dcterms:W3CDTF">2026-09-06T10:33:59Z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