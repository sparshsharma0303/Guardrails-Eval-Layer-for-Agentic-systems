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ars\Desktop\GEL\DOCUMENTATION\"/>
    </mc:Choice>
  </mc:AlternateContent>
  <xr:revisionPtr revIDLastSave="0" documentId="13_ncr:1_{8C53D136-AEA9-4E90-AF66-1B0BF5EDCC90}" xr6:coauthVersionLast="47" xr6:coauthVersionMax="47" xr10:uidLastSave="{00000000-0000-0000-0000-000000000000}"/>
  <bookViews>
    <workbookView xWindow="-109" yWindow="-109" windowWidth="26301" windowHeight="14169" tabRatio="500" xr2:uid="{00000000-000D-0000-FFFF-FFFF00000000}"/>
  </bookViews>
  <sheets>
    <sheet name="Timeline Track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" l="1"/>
  <c r="B4" i="1"/>
  <c r="D3" i="1" s="1"/>
  <c r="B3" i="1"/>
</calcChain>
</file>

<file path=xl/sharedStrings.xml><?xml version="1.0" encoding="utf-8"?>
<sst xmlns="http://schemas.openxmlformats.org/spreadsheetml/2006/main" count="182" uniqueCount="95">
  <si>
    <t>Guardrail &amp; Evaluation Layer — Build Tracker (Project 1, v3)</t>
  </si>
  <si>
    <t>Total Tasks</t>
  </si>
  <si>
    <t>% Complete</t>
  </si>
  <si>
    <t>Done</t>
  </si>
  <si>
    <t>In Progress</t>
  </si>
  <si>
    <t>#</t>
  </si>
  <si>
    <t>Phase</t>
  </si>
  <si>
    <t>Task</t>
  </si>
  <si>
    <t>Target Duration</t>
  </si>
  <si>
    <t>Status</t>
  </si>
  <si>
    <t>Benchmark / Done-When</t>
  </si>
  <si>
    <t>Notes</t>
  </si>
  <si>
    <t>1a — Trace Skeleton (Wk 1–4)</t>
  </si>
  <si>
    <t>Design canonical trace schema</t>
  </si>
  <si>
    <t>Week 1</t>
  </si>
  <si>
    <t>Not Started</t>
  </si>
  <si>
    <t>Build LangGraph adapter</t>
  </si>
  <si>
    <t>Week 1–2</t>
  </si>
  <si>
    <t>Set up Postgres trace store</t>
  </si>
  <si>
    <t>Week 2</t>
  </si>
  <si>
    <t>Build privacy/redaction filter</t>
  </si>
  <si>
    <t>Week 2–3</t>
  </si>
  <si>
    <t>Build provider abstraction layer</t>
  </si>
  <si>
    <t>Week 3</t>
  </si>
  <si>
    <t>Build mock evaluator</t>
  </si>
  <si>
    <t>Implement caching layer</t>
  </si>
  <si>
    <t>Week 3–4</t>
  </si>
  <si>
    <t>Implement retry / rate-limit handling</t>
  </si>
  <si>
    <t>Week 4</t>
  </si>
  <si>
    <t>Benchmark: 10 known runs round-trip, zero data loss</t>
  </si>
  <si>
    <t>Zero data loss on round-trip</t>
  </si>
  <si>
    <t>Benchmark: secrets/PII confirmed redacted</t>
  </si>
  <si>
    <t>No unredacted secrets in stored traces</t>
  </si>
  <si>
    <t>Benchmark: repeated call served from cache</t>
  </si>
  <si>
    <t>Identical call not re-sent to provider</t>
  </si>
  <si>
    <t>Integration Check 1</t>
  </si>
  <si>
    <t>Verify trace schema covers all downstream fields</t>
  </si>
  <si>
    <t>~1 day</t>
  </si>
  <si>
    <t>Every field 1b–1d needs is present</t>
  </si>
  <si>
    <t>1b — Basic Evaluation (Wk 5–6)</t>
  </si>
  <si>
    <t>Build eval-signal schema (incl. evaluator_version)</t>
  </si>
  <si>
    <t>Week 5</t>
  </si>
  <si>
    <t>Build rule-based evaluators</t>
  </si>
  <si>
    <t>Build embedding evaluators</t>
  </si>
  <si>
    <t>Week 5–6</t>
  </si>
  <si>
    <t>Build dataset versioning</t>
  </si>
  <si>
    <t>Week 6</t>
  </si>
  <si>
    <t>Create 20–30 case hand-labeled dataset</t>
  </si>
  <si>
    <t>Benchmark: rule-based checks match expected pass/fail</t>
  </si>
  <si>
    <t>Exact match vs. hand-labeled set</t>
  </si>
  <si>
    <t>Benchmark: embedding scores correlate with human judgment</t>
  </si>
  <si>
    <t>Directional correlation confirmed</t>
  </si>
  <si>
    <t>1c — Groundedness (Wk 7–9)</t>
  </si>
  <si>
    <t>Build claim extraction step</t>
  </si>
  <si>
    <t>Week 7</t>
  </si>
  <si>
    <t>Build evidence retrieval step</t>
  </si>
  <si>
    <t>Week 7–8</t>
  </si>
  <si>
    <t>Build entailment check step</t>
  </si>
  <si>
    <t>Week 8</t>
  </si>
  <si>
    <t>Implement full metric set (claims, unsupported, contradicted, coverage, retrieval failure, extraction confidence)</t>
  </si>
  <si>
    <t>Week 8–9</t>
  </si>
  <si>
    <t>Create labeled claim-level benchmark set</t>
  </si>
  <si>
    <t>Week 9</t>
  </si>
  <si>
    <t>Benchmark: entailment labels match human labels ≥ 80%</t>
  </si>
  <si>
    <t>≥80% agreement with human labels</t>
  </si>
  <si>
    <t>Integration Check 2</t>
  </si>
  <si>
    <t>Verify groundedness results flow into eval-signal schema</t>
  </si>
  <si>
    <t>Evidence + severity populated correctly</t>
  </si>
  <si>
    <t>1d — Security Suite (Wk 10–12)</t>
  </si>
  <si>
    <t>Build prompt injection test module</t>
  </si>
  <si>
    <t>Week 10</t>
  </si>
  <si>
    <t>Build indirect injection test module</t>
  </si>
  <si>
    <t>Build permission / allow-list evaluation</t>
  </si>
  <si>
    <t>Week 11</t>
  </si>
  <si>
    <t>Build tool-argument validation</t>
  </si>
  <si>
    <t>Build loop / excessive-retry detection</t>
  </si>
  <si>
    <t>Build versioned security payload registry</t>
  </si>
  <si>
    <t>Week 12</t>
  </si>
  <si>
    <t>Benchmark: adversarial suite catch-rate meets threshold</t>
  </si>
  <si>
    <t>Defined min. % of payloads caught</t>
  </si>
  <si>
    <t>1e — Dashboard (Wk 13–14)</t>
  </si>
  <si>
    <t>Build dashboard UI skeleton</t>
  </si>
  <si>
    <t>Week 13</t>
  </si>
  <si>
    <t>Wire eval signals with evidence &amp; severity</t>
  </si>
  <si>
    <t>Wire security findings view</t>
  </si>
  <si>
    <t>Week 14</t>
  </si>
  <si>
    <t>Benchmark: every finding traceable to trace_span_ids</t>
  </si>
  <si>
    <t>Manual walkthrough passes</t>
  </si>
  <si>
    <t>Buffer (Wk 15–16)</t>
  </si>
  <si>
    <t>Debugging &amp; polish</t>
  </si>
  <si>
    <t>Week 15</t>
  </si>
  <si>
    <t>Documentation</t>
  </si>
  <si>
    <t>Week 15–16</t>
  </si>
  <si>
    <t>Report / viva prep</t>
  </si>
  <si>
    <t>Week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</si>
</sst>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name val="Arial"/>
      <charset val="1"/>
    </font>
    <font>
      <b/>
      <sz val="11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156" zoomScaleNormal="100" workbookViewId="0">
      <pane ySplit="7" topLeftCell="A21" activePane="bottomLeft" state="frozen"/>
      <selection pane="bottomLeft" activeCell="F10" sqref="F10"/>
    </sheetView>
  </sheetViews>
  <sheetFormatPr defaultColWidth="8.625" defaultRowHeight="14.3" x14ac:dyDescent="0.25"/>
  <cols>
    <col min="1" max="1" width="5" customWidth="1"/>
    <col min="2" max="2" width="20" customWidth="1"/>
    <col min="3" max="3" width="42" customWidth="1"/>
    <col min="4" max="4" width="16" customWidth="1"/>
    <col min="5" max="5" width="14" customWidth="1"/>
    <col min="6" max="6" width="46" customWidth="1"/>
    <col min="7" max="7" width="24" customWidth="1"/>
  </cols>
  <sheetData>
    <row r="1" spans="1:7" ht="27.7" customHeigh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3">
        <f>COUNTA(B7:B100)-COUNTBLANK(B7:B100)</f>
        <v>-12</v>
      </c>
      <c r="C3" s="2" t="s">
        <v>2</v>
      </c>
      <c r="D3" s="4">
        <f>IFERROR(B4/B3,0)</f>
        <v>-1</v>
      </c>
    </row>
    <row r="4" spans="1:7" x14ac:dyDescent="0.25">
      <c r="A4" s="2" t="s">
        <v>3</v>
      </c>
      <c r="B4" s="3">
        <f>COUNTIF(E7:E100,"Done")</f>
        <v>12</v>
      </c>
    </row>
    <row r="5" spans="1:7" x14ac:dyDescent="0.25">
      <c r="A5" s="2" t="s">
        <v>4</v>
      </c>
      <c r="B5" s="3">
        <f>COUNTIF(E7:E100,"In Progress")</f>
        <v>0</v>
      </c>
    </row>
    <row r="7" spans="1:7" ht="28.55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</row>
    <row r="8" spans="1:7" ht="30.1" customHeight="1" x14ac:dyDescent="0.25">
      <c r="A8" s="6">
        <v>1</v>
      </c>
      <c r="B8" s="6" t="s">
        <v>12</v>
      </c>
      <c r="C8" s="6" t="s">
        <v>13</v>
      </c>
      <c r="D8" s="6" t="s">
        <v>14</v>
      </c>
      <c r="E8" s="6" t="s">
        <v>3</v>
      </c>
      <c r="F8" s="6"/>
      <c r="G8" s="6"/>
    </row>
    <row r="9" spans="1:7" ht="30.1" customHeight="1" x14ac:dyDescent="0.25">
      <c r="A9" s="6">
        <v>2</v>
      </c>
      <c r="B9" s="6" t="s">
        <v>12</v>
      </c>
      <c r="C9" s="6" t="s">
        <v>16</v>
      </c>
      <c r="D9" s="6" t="s">
        <v>17</v>
      </c>
      <c r="E9" s="6" t="s">
        <v>3</v>
      </c>
      <c r="F9" s="6"/>
      <c r="G9" s="6"/>
    </row>
    <row r="10" spans="1:7" ht="30.1" customHeight="1" x14ac:dyDescent="0.25">
      <c r="A10" s="6">
        <v>3</v>
      </c>
      <c r="B10" s="6" t="s">
        <v>12</v>
      </c>
      <c r="C10" s="6" t="s">
        <v>18</v>
      </c>
      <c r="D10" s="6" t="s">
        <v>19</v>
      </c>
      <c r="E10" s="6" t="s">
        <v>3</v>
      </c>
      <c r="F10" s="6"/>
      <c r="G10" s="6"/>
    </row>
    <row r="11" spans="1:7" ht="30.1" customHeight="1" x14ac:dyDescent="0.25">
      <c r="A11" s="6">
        <v>4</v>
      </c>
      <c r="B11" s="6" t="s">
        <v>12</v>
      </c>
      <c r="C11" s="6" t="s">
        <v>20</v>
      </c>
      <c r="D11" s="6" t="s">
        <v>21</v>
      </c>
      <c r="E11" s="6" t="s">
        <v>3</v>
      </c>
      <c r="F11" s="6"/>
      <c r="G11" s="6"/>
    </row>
    <row r="12" spans="1:7" ht="30.1" customHeight="1" x14ac:dyDescent="0.25">
      <c r="A12" s="6">
        <v>5</v>
      </c>
      <c r="B12" s="6" t="s">
        <v>12</v>
      </c>
      <c r="C12" s="6" t="s">
        <v>22</v>
      </c>
      <c r="D12" s="6" t="s">
        <v>23</v>
      </c>
      <c r="E12" s="6" t="s">
        <v>3</v>
      </c>
      <c r="F12" s="6"/>
      <c r="G12" s="6"/>
    </row>
    <row r="13" spans="1:7" ht="30.1" customHeight="1" x14ac:dyDescent="0.25">
      <c r="A13" s="6">
        <v>6</v>
      </c>
      <c r="B13" s="6" t="s">
        <v>12</v>
      </c>
      <c r="C13" s="6" t="s">
        <v>24</v>
      </c>
      <c r="D13" s="6" t="s">
        <v>23</v>
      </c>
      <c r="E13" s="6" t="s">
        <v>3</v>
      </c>
      <c r="F13" s="6"/>
      <c r="G13" s="6"/>
    </row>
    <row r="14" spans="1:7" ht="30.1" customHeight="1" x14ac:dyDescent="0.25">
      <c r="A14" s="6">
        <v>7</v>
      </c>
      <c r="B14" s="6" t="s">
        <v>12</v>
      </c>
      <c r="C14" s="6" t="s">
        <v>25</v>
      </c>
      <c r="D14" s="6" t="s">
        <v>26</v>
      </c>
      <c r="E14" s="6" t="s">
        <v>3</v>
      </c>
      <c r="F14" s="6"/>
      <c r="G14" s="6"/>
    </row>
    <row r="15" spans="1:7" ht="30.1" customHeight="1" x14ac:dyDescent="0.25">
      <c r="A15" s="6">
        <v>8</v>
      </c>
      <c r="B15" s="6" t="s">
        <v>12</v>
      </c>
      <c r="C15" s="6" t="s">
        <v>27</v>
      </c>
      <c r="D15" s="6" t="s">
        <v>28</v>
      </c>
      <c r="E15" s="6" t="s">
        <v>3</v>
      </c>
      <c r="F15" s="6"/>
      <c r="G15" s="6"/>
    </row>
    <row r="16" spans="1:7" ht="30.1" customHeight="1" x14ac:dyDescent="0.25">
      <c r="A16" s="6">
        <v>9</v>
      </c>
      <c r="B16" s="6" t="s">
        <v>12</v>
      </c>
      <c r="C16" s="6" t="s">
        <v>29</v>
      </c>
      <c r="D16" s="6" t="s">
        <v>28</v>
      </c>
      <c r="E16" s="6" t="s">
        <v>3</v>
      </c>
      <c r="F16" s="6" t="s">
        <v>30</v>
      </c>
      <c r="G16" s="6"/>
    </row>
    <row r="17" spans="1:7" ht="30.1" customHeight="1" x14ac:dyDescent="0.25">
      <c r="A17" s="6">
        <v>10</v>
      </c>
      <c r="B17" s="6" t="s">
        <v>12</v>
      </c>
      <c r="C17" s="6" t="s">
        <v>31</v>
      </c>
      <c r="D17" s="6" t="s">
        <v>28</v>
      </c>
      <c r="E17" s="6" t="s">
        <v>3</v>
      </c>
      <c r="F17" s="6" t="s">
        <v>32</v>
      </c>
      <c r="G17" s="6"/>
    </row>
    <row r="18" spans="1:7" ht="30.1" customHeight="1" x14ac:dyDescent="0.25">
      <c r="A18" s="6">
        <v>11</v>
      </c>
      <c r="B18" s="6" t="s">
        <v>12</v>
      </c>
      <c r="C18" s="6" t="s">
        <v>33</v>
      </c>
      <c r="D18" s="6" t="s">
        <v>28</v>
      </c>
      <c r="E18" s="6" t="s">
        <v>3</v>
      </c>
      <c r="F18" s="6" t="s">
        <v>34</v>
      </c>
      <c r="G18" s="6"/>
    </row>
    <row r="19" spans="1:7" ht="30.1" customHeight="1" x14ac:dyDescent="0.25">
      <c r="A19" s="6">
        <v>12</v>
      </c>
      <c r="B19" s="6" t="s">
        <v>35</v>
      </c>
      <c r="C19" s="6" t="s">
        <v>36</v>
      </c>
      <c r="D19" s="6" t="s">
        <v>37</v>
      </c>
      <c r="E19" s="6" t="s">
        <v>3</v>
      </c>
      <c r="F19" s="6" t="s">
        <v>38</v>
      </c>
      <c r="G19" s="6"/>
    </row>
    <row r="20" spans="1:7" ht="30.1" customHeight="1" x14ac:dyDescent="0.25">
      <c r="A20" s="6">
        <v>13</v>
      </c>
      <c r="B20" s="6" t="s">
        <v>39</v>
      </c>
      <c r="C20" s="6" t="s">
        <v>40</v>
      </c>
      <c r="D20" s="6" t="s">
        <v>41</v>
      </c>
      <c r="E20" s="6" t="s">
        <v>15</v>
      </c>
      <c r="F20" s="6"/>
      <c r="G20" s="6"/>
    </row>
    <row r="21" spans="1:7" ht="30.1" customHeight="1" x14ac:dyDescent="0.25">
      <c r="A21" s="6">
        <v>14</v>
      </c>
      <c r="B21" s="6" t="s">
        <v>39</v>
      </c>
      <c r="C21" s="6" t="s">
        <v>42</v>
      </c>
      <c r="D21" s="6" t="s">
        <v>41</v>
      </c>
      <c r="E21" s="6" t="s">
        <v>15</v>
      </c>
      <c r="F21" s="6"/>
      <c r="G21" s="6"/>
    </row>
    <row r="22" spans="1:7" ht="30.1" customHeight="1" x14ac:dyDescent="0.25">
      <c r="A22" s="6">
        <v>15</v>
      </c>
      <c r="B22" s="6" t="s">
        <v>39</v>
      </c>
      <c r="C22" s="6" t="s">
        <v>43</v>
      </c>
      <c r="D22" s="6" t="s">
        <v>44</v>
      </c>
      <c r="E22" s="6" t="s">
        <v>15</v>
      </c>
      <c r="F22" s="6"/>
      <c r="G22" s="6"/>
    </row>
    <row r="23" spans="1:7" ht="30.1" customHeight="1" x14ac:dyDescent="0.25">
      <c r="A23" s="6">
        <v>16</v>
      </c>
      <c r="B23" s="6" t="s">
        <v>39</v>
      </c>
      <c r="C23" s="6" t="s">
        <v>45</v>
      </c>
      <c r="D23" s="6" t="s">
        <v>46</v>
      </c>
      <c r="E23" s="6" t="s">
        <v>15</v>
      </c>
      <c r="F23" s="6"/>
      <c r="G23" s="6"/>
    </row>
    <row r="24" spans="1:7" ht="30.1" customHeight="1" x14ac:dyDescent="0.25">
      <c r="A24" s="6">
        <v>17</v>
      </c>
      <c r="B24" s="6" t="s">
        <v>39</v>
      </c>
      <c r="C24" s="6" t="s">
        <v>47</v>
      </c>
      <c r="D24" s="6" t="s">
        <v>46</v>
      </c>
      <c r="E24" s="6" t="s">
        <v>15</v>
      </c>
      <c r="F24" s="6"/>
      <c r="G24" s="6"/>
    </row>
    <row r="25" spans="1:7" ht="30.1" customHeight="1" x14ac:dyDescent="0.25">
      <c r="A25" s="6">
        <v>18</v>
      </c>
      <c r="B25" s="6" t="s">
        <v>39</v>
      </c>
      <c r="C25" s="6" t="s">
        <v>48</v>
      </c>
      <c r="D25" s="6" t="s">
        <v>46</v>
      </c>
      <c r="E25" s="6" t="s">
        <v>15</v>
      </c>
      <c r="F25" s="6" t="s">
        <v>49</v>
      </c>
      <c r="G25" s="6"/>
    </row>
    <row r="26" spans="1:7" ht="30.1" customHeight="1" x14ac:dyDescent="0.25">
      <c r="A26" s="6">
        <v>19</v>
      </c>
      <c r="B26" s="6" t="s">
        <v>39</v>
      </c>
      <c r="C26" s="6" t="s">
        <v>50</v>
      </c>
      <c r="D26" s="6" t="s">
        <v>46</v>
      </c>
      <c r="E26" s="6" t="s">
        <v>15</v>
      </c>
      <c r="F26" s="6" t="s">
        <v>51</v>
      </c>
      <c r="G26" s="6"/>
    </row>
    <row r="27" spans="1:7" ht="30.1" customHeight="1" x14ac:dyDescent="0.25">
      <c r="A27" s="6">
        <v>20</v>
      </c>
      <c r="B27" s="6" t="s">
        <v>52</v>
      </c>
      <c r="C27" s="6" t="s">
        <v>53</v>
      </c>
      <c r="D27" s="6" t="s">
        <v>54</v>
      </c>
      <c r="E27" s="6" t="s">
        <v>15</v>
      </c>
      <c r="F27" s="6"/>
      <c r="G27" s="6"/>
    </row>
    <row r="28" spans="1:7" ht="30.1" customHeight="1" x14ac:dyDescent="0.25">
      <c r="A28" s="6">
        <v>21</v>
      </c>
      <c r="B28" s="6" t="s">
        <v>52</v>
      </c>
      <c r="C28" s="6" t="s">
        <v>55</v>
      </c>
      <c r="D28" s="6" t="s">
        <v>56</v>
      </c>
      <c r="E28" s="6" t="s">
        <v>15</v>
      </c>
      <c r="F28" s="6"/>
      <c r="G28" s="6"/>
    </row>
    <row r="29" spans="1:7" ht="30.1" customHeight="1" x14ac:dyDescent="0.25">
      <c r="A29" s="6">
        <v>22</v>
      </c>
      <c r="B29" s="6" t="s">
        <v>52</v>
      </c>
      <c r="C29" s="6" t="s">
        <v>57</v>
      </c>
      <c r="D29" s="6" t="s">
        <v>58</v>
      </c>
      <c r="E29" s="6" t="s">
        <v>15</v>
      </c>
      <c r="F29" s="6"/>
      <c r="G29" s="6"/>
    </row>
    <row r="30" spans="1:7" ht="30.1" customHeight="1" x14ac:dyDescent="0.25">
      <c r="A30" s="6">
        <v>23</v>
      </c>
      <c r="B30" s="6" t="s">
        <v>52</v>
      </c>
      <c r="C30" s="6" t="s">
        <v>59</v>
      </c>
      <c r="D30" s="6" t="s">
        <v>60</v>
      </c>
      <c r="E30" s="6" t="s">
        <v>15</v>
      </c>
      <c r="F30" s="6"/>
      <c r="G30" s="6"/>
    </row>
    <row r="31" spans="1:7" ht="30.1" customHeight="1" x14ac:dyDescent="0.25">
      <c r="A31" s="6">
        <v>24</v>
      </c>
      <c r="B31" s="6" t="s">
        <v>52</v>
      </c>
      <c r="C31" s="6" t="s">
        <v>61</v>
      </c>
      <c r="D31" s="6" t="s">
        <v>62</v>
      </c>
      <c r="E31" s="6" t="s">
        <v>15</v>
      </c>
      <c r="F31" s="6"/>
      <c r="G31" s="6"/>
    </row>
    <row r="32" spans="1:7" ht="30.1" customHeight="1" x14ac:dyDescent="0.25">
      <c r="A32" s="6">
        <v>25</v>
      </c>
      <c r="B32" s="6" t="s">
        <v>52</v>
      </c>
      <c r="C32" s="6" t="s">
        <v>63</v>
      </c>
      <c r="D32" s="6" t="s">
        <v>62</v>
      </c>
      <c r="E32" s="6" t="s">
        <v>15</v>
      </c>
      <c r="F32" s="6" t="s">
        <v>64</v>
      </c>
      <c r="G32" s="6"/>
    </row>
    <row r="33" spans="1:7" ht="30.1" customHeight="1" x14ac:dyDescent="0.25">
      <c r="A33" s="6">
        <v>26</v>
      </c>
      <c r="B33" s="6" t="s">
        <v>65</v>
      </c>
      <c r="C33" s="6" t="s">
        <v>66</v>
      </c>
      <c r="D33" s="6" t="s">
        <v>37</v>
      </c>
      <c r="E33" s="6" t="s">
        <v>15</v>
      </c>
      <c r="F33" s="6" t="s">
        <v>67</v>
      </c>
      <c r="G33" s="6"/>
    </row>
    <row r="34" spans="1:7" ht="30.1" customHeight="1" x14ac:dyDescent="0.25">
      <c r="A34" s="6">
        <v>27</v>
      </c>
      <c r="B34" s="6" t="s">
        <v>68</v>
      </c>
      <c r="C34" s="6" t="s">
        <v>69</v>
      </c>
      <c r="D34" s="6" t="s">
        <v>70</v>
      </c>
      <c r="E34" s="6" t="s">
        <v>15</v>
      </c>
      <c r="F34" s="6"/>
      <c r="G34" s="6"/>
    </row>
    <row r="35" spans="1:7" ht="30.1" customHeight="1" x14ac:dyDescent="0.25">
      <c r="A35" s="6">
        <v>28</v>
      </c>
      <c r="B35" s="6" t="s">
        <v>68</v>
      </c>
      <c r="C35" s="6" t="s">
        <v>71</v>
      </c>
      <c r="D35" s="6" t="s">
        <v>70</v>
      </c>
      <c r="E35" s="6" t="s">
        <v>15</v>
      </c>
      <c r="F35" s="6"/>
      <c r="G35" s="6"/>
    </row>
    <row r="36" spans="1:7" ht="30.1" customHeight="1" x14ac:dyDescent="0.25">
      <c r="A36" s="6">
        <v>29</v>
      </c>
      <c r="B36" s="6" t="s">
        <v>68</v>
      </c>
      <c r="C36" s="6" t="s">
        <v>72</v>
      </c>
      <c r="D36" s="6" t="s">
        <v>73</v>
      </c>
      <c r="E36" s="6" t="s">
        <v>15</v>
      </c>
      <c r="F36" s="6"/>
      <c r="G36" s="6"/>
    </row>
    <row r="37" spans="1:7" ht="30.1" customHeight="1" x14ac:dyDescent="0.25">
      <c r="A37" s="6">
        <v>30</v>
      </c>
      <c r="B37" s="6" t="s">
        <v>68</v>
      </c>
      <c r="C37" s="6" t="s">
        <v>74</v>
      </c>
      <c r="D37" s="6" t="s">
        <v>73</v>
      </c>
      <c r="E37" s="6" t="s">
        <v>15</v>
      </c>
      <c r="F37" s="6"/>
      <c r="G37" s="6"/>
    </row>
    <row r="38" spans="1:7" ht="30.1" customHeight="1" x14ac:dyDescent="0.25">
      <c r="A38" s="6">
        <v>31</v>
      </c>
      <c r="B38" s="6" t="s">
        <v>68</v>
      </c>
      <c r="C38" s="6" t="s">
        <v>75</v>
      </c>
      <c r="D38" s="6" t="s">
        <v>73</v>
      </c>
      <c r="E38" s="6" t="s">
        <v>15</v>
      </c>
      <c r="F38" s="6"/>
      <c r="G38" s="6"/>
    </row>
    <row r="39" spans="1:7" ht="30.1" customHeight="1" x14ac:dyDescent="0.25">
      <c r="A39" s="6">
        <v>32</v>
      </c>
      <c r="B39" s="6" t="s">
        <v>68</v>
      </c>
      <c r="C39" s="6" t="s">
        <v>76</v>
      </c>
      <c r="D39" s="6" t="s">
        <v>77</v>
      </c>
      <c r="E39" s="6" t="s">
        <v>15</v>
      </c>
      <c r="F39" s="6"/>
      <c r="G39" s="6"/>
    </row>
    <row r="40" spans="1:7" ht="30.1" customHeight="1" x14ac:dyDescent="0.25">
      <c r="A40" s="6">
        <v>33</v>
      </c>
      <c r="B40" s="6" t="s">
        <v>68</v>
      </c>
      <c r="C40" s="6" t="s">
        <v>78</v>
      </c>
      <c r="D40" s="6" t="s">
        <v>77</v>
      </c>
      <c r="E40" s="6" t="s">
        <v>15</v>
      </c>
      <c r="F40" s="6" t="s">
        <v>79</v>
      </c>
      <c r="G40" s="6"/>
    </row>
    <row r="41" spans="1:7" ht="30.1" customHeight="1" x14ac:dyDescent="0.25">
      <c r="A41" s="6">
        <v>34</v>
      </c>
      <c r="B41" s="6" t="s">
        <v>80</v>
      </c>
      <c r="C41" s="6" t="s">
        <v>81</v>
      </c>
      <c r="D41" s="6" t="s">
        <v>82</v>
      </c>
      <c r="E41" s="6" t="s">
        <v>15</v>
      </c>
      <c r="F41" s="6"/>
      <c r="G41" s="6"/>
    </row>
    <row r="42" spans="1:7" ht="30.1" customHeight="1" x14ac:dyDescent="0.25">
      <c r="A42" s="6">
        <v>35</v>
      </c>
      <c r="B42" s="6" t="s">
        <v>80</v>
      </c>
      <c r="C42" s="6" t="s">
        <v>83</v>
      </c>
      <c r="D42" s="6" t="s">
        <v>82</v>
      </c>
      <c r="E42" s="6" t="s">
        <v>15</v>
      </c>
      <c r="F42" s="6"/>
      <c r="G42" s="6"/>
    </row>
    <row r="43" spans="1:7" ht="30.1" customHeight="1" x14ac:dyDescent="0.25">
      <c r="A43" s="6">
        <v>36</v>
      </c>
      <c r="B43" s="6" t="s">
        <v>80</v>
      </c>
      <c r="C43" s="6" t="s">
        <v>84</v>
      </c>
      <c r="D43" s="6" t="s">
        <v>85</v>
      </c>
      <c r="E43" s="6" t="s">
        <v>15</v>
      </c>
      <c r="F43" s="6"/>
      <c r="G43" s="6"/>
    </row>
    <row r="44" spans="1:7" ht="30.1" customHeight="1" x14ac:dyDescent="0.25">
      <c r="A44" s="6">
        <v>37</v>
      </c>
      <c r="B44" s="6" t="s">
        <v>80</v>
      </c>
      <c r="C44" s="6" t="s">
        <v>86</v>
      </c>
      <c r="D44" s="6" t="s">
        <v>85</v>
      </c>
      <c r="E44" s="6" t="s">
        <v>15</v>
      </c>
      <c r="F44" s="6" t="s">
        <v>87</v>
      </c>
      <c r="G44" s="6"/>
    </row>
    <row r="45" spans="1:7" ht="30.1" customHeight="1" x14ac:dyDescent="0.25">
      <c r="A45" s="6">
        <v>38</v>
      </c>
      <c r="B45" s="6" t="s">
        <v>88</v>
      </c>
      <c r="C45" s="6" t="s">
        <v>89</v>
      </c>
      <c r="D45" s="6" t="s">
        <v>90</v>
      </c>
      <c r="E45" s="6" t="s">
        <v>15</v>
      </c>
      <c r="F45" s="6"/>
      <c r="G45" s="6"/>
    </row>
    <row r="46" spans="1:7" ht="30.1" customHeight="1" x14ac:dyDescent="0.25">
      <c r="A46" s="6">
        <v>39</v>
      </c>
      <c r="B46" s="6" t="s">
        <v>88</v>
      </c>
      <c r="C46" s="6" t="s">
        <v>91</v>
      </c>
      <c r="D46" s="6" t="s">
        <v>92</v>
      </c>
      <c r="E46" s="6" t="s">
        <v>15</v>
      </c>
      <c r="F46" s="6"/>
      <c r="G46" s="6"/>
    </row>
    <row r="47" spans="1:7" ht="30.1" customHeight="1" x14ac:dyDescent="0.25">
      <c r="A47" s="6">
        <v>40</v>
      </c>
      <c r="B47" s="6" t="s">
        <v>88</v>
      </c>
      <c r="C47" s="6" t="s">
        <v>93</v>
      </c>
      <c r="D47" s="6" t="s">
        <v>94</v>
      </c>
      <c r="E47" s="6" t="s">
        <v>15</v>
      </c>
      <c r="F47" s="6"/>
      <c r="G47" s="6"/>
    </row>
  </sheetData>
  <mergeCells count="1">
    <mergeCell ref="A1:G1"/>
  </mergeCells>
  <conditionalFormatting sqref="E8:E47">
    <cfRule type="cellIs" dxfId="2" priority="2" operator="equal">
      <formula>"Done"</formula>
    </cfRule>
    <cfRule type="cellIs" dxfId="1" priority="3" operator="equal">
      <formula>"In Progress"</formula>
    </cfRule>
    <cfRule type="cellIs" dxfId="0" priority="4" operator="equal">
      <formula>"Not Started"</formula>
    </cfRule>
  </conditionalFormatting>
  <dataValidations count="1">
    <dataValidation type="list" sqref="E8:E47" xr:uid="{00000000-0002-0000-00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SPARSH SHARMA</cp:lastModifiedBy>
  <cp:revision>0</cp:revision>
  <dcterms:created xsi:type="dcterms:W3CDTF">2026-09-06T10:33:59Z</dcterms:created>
  <dcterms:modified xsi:type="dcterms:W3CDTF">2026-10-21T13:58:54Z</dcterms:modified>
  <dc:language>en-US</dc:language>
</cp:coreProperties>
</file>